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chau\Downloads\"/>
    </mc:Choice>
  </mc:AlternateContent>
  <xr:revisionPtr revIDLastSave="0" documentId="8_{FDA4514D-1D72-48AF-B477-E58FED336913}" xr6:coauthVersionLast="47" xr6:coauthVersionMax="47" xr10:uidLastSave="{00000000-0000-0000-0000-000000000000}"/>
  <bookViews>
    <workbookView xWindow="-105" yWindow="0" windowWidth="14610" windowHeight="16305" tabRatio="0" xr2:uid="{FD82C342-959A-42D1-9D13-868663B8720C}"/>
  </bookViews>
  <sheets>
    <sheet name="Planilha1" sheetId="1" r:id="rId1"/>
    <sheet name="Planilha2" sheetId="2" r:id="rId2"/>
  </sheets>
  <definedNames>
    <definedName name="ano">Planilha1!$D$21</definedName>
    <definedName name="aporte">Planilha1!$D$20</definedName>
    <definedName name="patrimonio">Planilha1!$D$23</definedName>
    <definedName name="rendimento_carteira">Planilha1!$D$15</definedName>
    <definedName name="sug_invest">Planilha1!$D$16</definedName>
    <definedName name="taxa_mensal">Planilha1!$D$22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9" i="1" l="1"/>
  <c r="C40" i="1"/>
  <c r="C41" i="1"/>
  <c r="C42" i="1"/>
  <c r="C43" i="1"/>
  <c r="C38" i="1"/>
  <c r="G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D16" i="1"/>
  <c r="D20" i="1" s="1"/>
  <c r="C29" i="1" l="1"/>
  <c r="D29" i="1" s="1"/>
  <c r="D23" i="1"/>
  <c r="D24" i="1" s="1"/>
  <c r="C35" i="1"/>
  <c r="C31" i="1"/>
  <c r="D31" i="1" s="1"/>
  <c r="C28" i="1"/>
  <c r="D28" i="1" s="1"/>
  <c r="C30" i="1"/>
  <c r="D30" i="1" s="1"/>
  <c r="D43" i="1"/>
  <c r="D38" i="1"/>
  <c r="D42" i="1"/>
  <c r="D41" i="1"/>
  <c r="D40" i="1"/>
  <c r="D39" i="1"/>
  <c r="D44" i="1" s="1"/>
</calcChain>
</file>

<file path=xl/sharedStrings.xml><?xml version="1.0" encoding="utf-8"?>
<sst xmlns="http://schemas.openxmlformats.org/spreadsheetml/2006/main" count="70" uniqueCount="33">
  <si>
    <t>INVESTIMENTO MENSAL</t>
  </si>
  <si>
    <t>Quanto investir por mês?</t>
  </si>
  <si>
    <t>Por quantos anos?</t>
  </si>
  <si>
    <t>taxa de redimento mensal?</t>
  </si>
  <si>
    <t>Patrimonio acumulado?</t>
  </si>
  <si>
    <t>dividendos mensais?</t>
  </si>
  <si>
    <t>Quanto em 5 anos?</t>
  </si>
  <si>
    <t>Quanto em 10 anos?</t>
  </si>
  <si>
    <t>Quanto em 15 anos?</t>
  </si>
  <si>
    <t>Quanto em 20 anos?</t>
  </si>
  <si>
    <t>RENDIMENTO</t>
  </si>
  <si>
    <t>Salario</t>
  </si>
  <si>
    <t>Rendimento carteira</t>
  </si>
  <si>
    <t>Sugestão de investimento</t>
  </si>
  <si>
    <t>CONFIGURAÇÕES</t>
  </si>
  <si>
    <t>PERIODOS</t>
  </si>
  <si>
    <t>PERFIL</t>
  </si>
  <si>
    <t>AGRESSIVO</t>
  </si>
  <si>
    <t>CONSERVADOR</t>
  </si>
  <si>
    <t>MODERADO</t>
  </si>
  <si>
    <t>VALOR A SER INVESTIDO POR MÊS</t>
  </si>
  <si>
    <t>TIPO DE FII</t>
  </si>
  <si>
    <t>PERCENTUAL SUGERIDO</t>
  </si>
  <si>
    <t>VALORES</t>
  </si>
  <si>
    <t>PAPEL</t>
  </si>
  <si>
    <t>TIJOLO</t>
  </si>
  <si>
    <t>HIBRIDOS</t>
  </si>
  <si>
    <t>FOFs</t>
  </si>
  <si>
    <t>DESENVOLVIMENTO</t>
  </si>
  <si>
    <t>HOTELARIAS</t>
  </si>
  <si>
    <t>%</t>
  </si>
  <si>
    <t>CHAVE</t>
  </si>
  <si>
    <t>CONSERVADOR-PAPEL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</si>
</sst>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6" formatCode="&quot;R$&quot;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Bahnschrift Light SemiCondensed"/>
      <family val="2"/>
    </font>
    <font>
      <b/>
      <sz val="16"/>
      <color theme="0"/>
      <name val="Bahnschrift Light SemiCondensed"/>
      <family val="2"/>
    </font>
    <font>
      <b/>
      <sz val="22"/>
      <color theme="0"/>
      <name val="Bahnschrift Light SemiCondensed"/>
      <family val="2"/>
    </font>
    <font>
      <b/>
      <sz val="12"/>
      <color theme="0"/>
      <name val="Bahnschrift Light SemiCondensed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Segoe UI"/>
      <family val="2"/>
    </font>
    <font>
      <b/>
      <sz val="14"/>
      <color theme="1"/>
      <name val="Segoe UI"/>
      <family val="2"/>
    </font>
    <font>
      <sz val="14"/>
      <color theme="5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 style="thin">
        <color theme="2" tint="-0.24994659260841701"/>
      </bottom>
      <diagonal/>
    </border>
    <border>
      <left style="medium">
        <color indexed="64"/>
      </left>
      <right style="thin">
        <color theme="2" tint="-0.24994659260841701"/>
      </right>
      <top style="medium">
        <color indexed="64"/>
      </top>
      <bottom style="thin">
        <color theme="2" tint="-0.24994659260841701"/>
      </bottom>
      <diagonal/>
    </border>
    <border>
      <left style="medium">
        <color indexed="64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medium">
        <color indexed="64"/>
      </left>
      <right style="thin">
        <color theme="2" tint="-0.24994659260841701"/>
      </right>
      <top style="thin">
        <color theme="2" tint="-0.24994659260841701"/>
      </top>
      <bottom style="medium">
        <color indexed="64"/>
      </bottom>
      <diagonal/>
    </border>
    <border>
      <left style="thin">
        <color theme="2" tint="-0.24994659260841701"/>
      </left>
      <right/>
      <top style="medium">
        <color indexed="64"/>
      </top>
      <bottom style="thin">
        <color theme="2" tint="-0.24994659260841701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 style="medium">
        <color indexed="64"/>
      </left>
      <right style="medium">
        <color indexed="64"/>
      </right>
      <top style="thin">
        <color theme="2" tint="-0.2499465926084170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theme="2" tint="-0.24994659260841701"/>
      </bottom>
      <diagonal/>
    </border>
    <border>
      <left style="medium">
        <color indexed="64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medium">
        <color indexed="64"/>
      </left>
      <right style="thin">
        <color theme="2" tint="-0.499984740745262"/>
      </right>
      <top style="medium">
        <color indexed="64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medium">
        <color indexed="64"/>
      </top>
      <bottom style="thin">
        <color theme="2" tint="-0.499984740745262"/>
      </bottom>
      <diagonal/>
    </border>
    <border>
      <left style="thin">
        <color theme="2" tint="-0.499984740745262"/>
      </left>
      <right style="medium">
        <color indexed="64"/>
      </right>
      <top style="medium">
        <color indexed="64"/>
      </top>
      <bottom style="thin">
        <color theme="2" tint="-0.499984740745262"/>
      </bottom>
      <diagonal/>
    </border>
    <border>
      <left style="medium">
        <color indexed="64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medium">
        <color indexed="64"/>
      </right>
      <top style="thin">
        <color theme="2" tint="-0.499984740745262"/>
      </top>
      <bottom style="thin">
        <color theme="2" tint="-0.499984740745262"/>
      </bottom>
      <diagonal/>
    </border>
    <border>
      <left style="medium">
        <color indexed="64"/>
      </left>
      <right style="thin">
        <color theme="2" tint="-0.499984740745262"/>
      </right>
      <top style="thin">
        <color theme="2" tint="-0.499984740745262"/>
      </top>
      <bottom style="medium">
        <color indexed="64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medium">
        <color indexed="64"/>
      </bottom>
      <diagonal/>
    </border>
    <border>
      <left style="thin">
        <color theme="2" tint="-0.499984740745262"/>
      </left>
      <right style="medium">
        <color indexed="64"/>
      </right>
      <top style="thin">
        <color theme="2" tint="-0.499984740745262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2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2" tint="-0.499984740745262"/>
      </bottom>
      <diagonal/>
    </border>
    <border>
      <left/>
      <right/>
      <top style="medium">
        <color indexed="64"/>
      </top>
      <bottom style="thin">
        <color theme="2" tint="-0.499984740745262"/>
      </bottom>
      <diagonal/>
    </border>
    <border>
      <left/>
      <right style="medium">
        <color indexed="64"/>
      </right>
      <top style="thin">
        <color theme="2" tint="-0.499984740745262"/>
      </top>
      <bottom style="thin">
        <color theme="2" tint="-0.499984740745262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1" fillId="3" borderId="1" applyNumberFormat="0" applyFont="0" applyAlignment="0" applyProtection="0"/>
  </cellStyleXfs>
  <cellXfs count="76">
    <xf numFmtId="0" fontId="0" fillId="0" borderId="0" xfId="0"/>
    <xf numFmtId="2" fontId="0" fillId="0" borderId="0" xfId="0" applyNumberFormat="1" applyAlignment="1"/>
    <xf numFmtId="0" fontId="0" fillId="0" borderId="0" xfId="0" applyAlignment="1">
      <alignment horizontal="center"/>
    </xf>
    <xf numFmtId="0" fontId="4" fillId="0" borderId="0" xfId="0" applyFont="1"/>
    <xf numFmtId="166" fontId="0" fillId="0" borderId="0" xfId="0" applyNumberFormat="1"/>
    <xf numFmtId="9" fontId="0" fillId="0" borderId="0" xfId="0" applyNumberFormat="1"/>
    <xf numFmtId="0" fontId="0" fillId="8" borderId="0" xfId="0" applyFill="1"/>
    <xf numFmtId="8" fontId="0" fillId="4" borderId="2" xfId="0" applyNumberFormat="1" applyFill="1" applyBorder="1" applyAlignment="1">
      <alignment horizontal="center"/>
    </xf>
    <xf numFmtId="8" fontId="0" fillId="4" borderId="8" xfId="0" applyNumberFormat="1" applyFill="1" applyBorder="1" applyAlignment="1">
      <alignment horizontal="center"/>
    </xf>
    <xf numFmtId="8" fontId="0" fillId="4" borderId="7" xfId="0" applyNumberFormat="1" applyFill="1" applyBorder="1" applyAlignment="1">
      <alignment horizontal="center"/>
    </xf>
    <xf numFmtId="8" fontId="0" fillId="4" borderId="9" xfId="0" applyNumberFormat="1" applyFill="1" applyBorder="1" applyAlignment="1">
      <alignment horizontal="center"/>
    </xf>
    <xf numFmtId="0" fontId="6" fillId="0" borderId="0" xfId="0" applyFont="1"/>
    <xf numFmtId="8" fontId="3" fillId="8" borderId="0" xfId="0" applyNumberFormat="1" applyFont="1" applyFill="1" applyBorder="1" applyAlignment="1">
      <alignment horizontal="center"/>
    </xf>
    <xf numFmtId="0" fontId="3" fillId="8" borderId="0" xfId="0" applyFont="1" applyFill="1" applyBorder="1"/>
    <xf numFmtId="0" fontId="3" fillId="0" borderId="0" xfId="0" applyFont="1"/>
    <xf numFmtId="0" fontId="8" fillId="0" borderId="0" xfId="0" applyFont="1"/>
    <xf numFmtId="0" fontId="10" fillId="5" borderId="3" xfId="0" applyFont="1" applyFill="1" applyBorder="1" applyAlignment="1">
      <alignment horizontal="left" vertical="center"/>
    </xf>
    <xf numFmtId="0" fontId="10" fillId="5" borderId="6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12" fillId="8" borderId="0" xfId="0" applyFont="1" applyFill="1" applyAlignment="1">
      <alignment horizontal="left"/>
    </xf>
    <xf numFmtId="0" fontId="0" fillId="0" borderId="0" xfId="0" applyBorder="1"/>
    <xf numFmtId="0" fontId="13" fillId="0" borderId="13" xfId="0" applyFont="1" applyBorder="1" applyAlignment="1">
      <alignment horizontal="left"/>
    </xf>
    <xf numFmtId="166" fontId="0" fillId="0" borderId="18" xfId="0" applyNumberFormat="1" applyBorder="1" applyAlignment="1">
      <alignment horizontal="center"/>
    </xf>
    <xf numFmtId="0" fontId="13" fillId="0" borderId="17" xfId="0" applyFont="1" applyBorder="1" applyAlignment="1">
      <alignment horizontal="left"/>
    </xf>
    <xf numFmtId="10" fontId="0" fillId="0" borderId="18" xfId="2" applyNumberFormat="1" applyFont="1" applyBorder="1" applyAlignment="1">
      <alignment horizontal="center"/>
    </xf>
    <xf numFmtId="0" fontId="13" fillId="6" borderId="19" xfId="0" applyFont="1" applyFill="1" applyBorder="1" applyAlignment="1">
      <alignment horizontal="left"/>
    </xf>
    <xf numFmtId="0" fontId="13" fillId="6" borderId="20" xfId="0" applyFont="1" applyFill="1" applyBorder="1" applyAlignment="1">
      <alignment horizontal="left"/>
    </xf>
    <xf numFmtId="0" fontId="0" fillId="0" borderId="12" xfId="0" applyBorder="1"/>
    <xf numFmtId="0" fontId="0" fillId="0" borderId="22" xfId="0" applyBorder="1"/>
    <xf numFmtId="166" fontId="0" fillId="0" borderId="18" xfId="1" applyNumberFormat="1" applyFont="1" applyBorder="1" applyAlignment="1">
      <alignment horizontal="center"/>
    </xf>
    <xf numFmtId="0" fontId="0" fillId="0" borderId="18" xfId="0" applyBorder="1" applyAlignment="1">
      <alignment horizontal="center"/>
    </xf>
    <xf numFmtId="8" fontId="3" fillId="4" borderId="18" xfId="0" applyNumberFormat="1" applyFont="1" applyFill="1" applyBorder="1" applyAlignment="1">
      <alignment horizontal="center"/>
    </xf>
    <xf numFmtId="8" fontId="3" fillId="4" borderId="21" xfId="0" applyNumberFormat="1" applyFont="1" applyFill="1" applyBorder="1" applyAlignment="1">
      <alignment horizontal="center"/>
    </xf>
    <xf numFmtId="0" fontId="9" fillId="7" borderId="23" xfId="0" applyFont="1" applyFill="1" applyBorder="1" applyAlignment="1">
      <alignment horizontal="center" vertical="center"/>
    </xf>
    <xf numFmtId="0" fontId="9" fillId="7" borderId="25" xfId="0" applyFont="1" applyFill="1" applyBorder="1" applyAlignment="1">
      <alignment horizontal="center" vertical="center"/>
    </xf>
    <xf numFmtId="0" fontId="9" fillId="7" borderId="24" xfId="0" applyFont="1" applyFill="1" applyBorder="1" applyAlignment="1">
      <alignment horizontal="center" vertical="center"/>
    </xf>
    <xf numFmtId="0" fontId="10" fillId="5" borderId="23" xfId="0" applyFont="1" applyFill="1" applyBorder="1" applyAlignment="1">
      <alignment horizontal="center" vertical="center"/>
    </xf>
    <xf numFmtId="0" fontId="10" fillId="5" borderId="25" xfId="0" applyFont="1" applyFill="1" applyBorder="1" applyAlignment="1">
      <alignment horizontal="center" vertical="center"/>
    </xf>
    <xf numFmtId="0" fontId="10" fillId="5" borderId="24" xfId="0" applyFont="1" applyFill="1" applyBorder="1" applyAlignment="1">
      <alignment horizontal="center" vertical="center"/>
    </xf>
    <xf numFmtId="0" fontId="14" fillId="6" borderId="17" xfId="0" applyFont="1" applyFill="1" applyBorder="1" applyAlignment="1">
      <alignment horizontal="left"/>
    </xf>
    <xf numFmtId="0" fontId="14" fillId="6" borderId="13" xfId="0" applyFont="1" applyFill="1" applyBorder="1" applyAlignment="1">
      <alignment horizontal="left"/>
    </xf>
    <xf numFmtId="0" fontId="14" fillId="0" borderId="17" xfId="0" applyFont="1" applyBorder="1" applyAlignment="1">
      <alignment horizontal="left"/>
    </xf>
    <xf numFmtId="0" fontId="14" fillId="0" borderId="13" xfId="0" applyFont="1" applyBorder="1" applyAlignment="1">
      <alignment horizontal="left"/>
    </xf>
    <xf numFmtId="0" fontId="14" fillId="4" borderId="4" xfId="0" applyFont="1" applyFill="1" applyBorder="1"/>
    <xf numFmtId="0" fontId="14" fillId="4" borderId="5" xfId="0" applyFont="1" applyFill="1" applyBorder="1"/>
    <xf numFmtId="166" fontId="0" fillId="4" borderId="21" xfId="0" applyNumberFormat="1" applyFill="1" applyBorder="1" applyAlignment="1">
      <alignment horizontal="center"/>
    </xf>
    <xf numFmtId="0" fontId="15" fillId="4" borderId="17" xfId="0" applyFont="1" applyFill="1" applyBorder="1" applyAlignment="1">
      <alignment horizontal="left"/>
    </xf>
    <xf numFmtId="0" fontId="15" fillId="4" borderId="13" xfId="0" applyFont="1" applyFill="1" applyBorder="1" applyAlignment="1">
      <alignment horizontal="left"/>
    </xf>
    <xf numFmtId="0" fontId="15" fillId="4" borderId="19" xfId="0" applyFont="1" applyFill="1" applyBorder="1" applyAlignment="1">
      <alignment horizontal="left"/>
    </xf>
    <xf numFmtId="0" fontId="15" fillId="4" borderId="20" xfId="0" applyFont="1" applyFill="1" applyBorder="1" applyAlignment="1">
      <alignment horizontal="left"/>
    </xf>
    <xf numFmtId="0" fontId="11" fillId="5" borderId="10" xfId="0" applyFont="1" applyFill="1" applyBorder="1"/>
    <xf numFmtId="9" fontId="0" fillId="0" borderId="0" xfId="2" applyNumberFormat="1" applyFont="1" applyAlignment="1">
      <alignment horizontal="center"/>
    </xf>
    <xf numFmtId="0" fontId="7" fillId="9" borderId="0" xfId="0" applyFont="1" applyFill="1" applyAlignment="1">
      <alignment horizontal="center"/>
    </xf>
    <xf numFmtId="0" fontId="17" fillId="0" borderId="0" xfId="0" applyFont="1" applyAlignment="1">
      <alignment horizontal="center" vertical="center"/>
    </xf>
    <xf numFmtId="0" fontId="0" fillId="0" borderId="22" xfId="0" applyBorder="1" applyAlignment="1">
      <alignment horizontal="center"/>
    </xf>
    <xf numFmtId="9" fontId="0" fillId="0" borderId="22" xfId="2" applyNumberFormat="1" applyFont="1" applyBorder="1" applyAlignment="1">
      <alignment horizontal="center"/>
    </xf>
    <xf numFmtId="9" fontId="0" fillId="0" borderId="22" xfId="0" applyNumberFormat="1" applyBorder="1"/>
    <xf numFmtId="0" fontId="2" fillId="2" borderId="0" xfId="3"/>
    <xf numFmtId="9" fontId="2" fillId="2" borderId="0" xfId="2" applyFont="1" applyFill="1"/>
    <xf numFmtId="0" fontId="16" fillId="3" borderId="14" xfId="4" applyFont="1" applyBorder="1"/>
    <xf numFmtId="0" fontId="16" fillId="3" borderId="15" xfId="4" applyFont="1" applyBorder="1" applyAlignment="1">
      <alignment horizontal="center"/>
    </xf>
    <xf numFmtId="0" fontId="5" fillId="3" borderId="16" xfId="4" applyFont="1" applyBorder="1"/>
    <xf numFmtId="0" fontId="3" fillId="9" borderId="17" xfId="0" applyFont="1" applyFill="1" applyBorder="1"/>
    <xf numFmtId="166" fontId="3" fillId="9" borderId="13" xfId="0" applyNumberFormat="1" applyFont="1" applyFill="1" applyBorder="1" applyAlignment="1">
      <alignment horizontal="center"/>
    </xf>
    <xf numFmtId="0" fontId="0" fillId="9" borderId="18" xfId="0" applyFill="1" applyBorder="1"/>
    <xf numFmtId="0" fontId="7" fillId="9" borderId="17" xfId="0" applyFont="1" applyFill="1" applyBorder="1" applyAlignment="1">
      <alignment horizontal="center"/>
    </xf>
    <xf numFmtId="0" fontId="7" fillId="9" borderId="13" xfId="0" applyFont="1" applyFill="1" applyBorder="1" applyAlignment="1">
      <alignment horizontal="center"/>
    </xf>
    <xf numFmtId="0" fontId="7" fillId="9" borderId="18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9" fontId="0" fillId="0" borderId="13" xfId="2" applyNumberFormat="1" applyFont="1" applyBorder="1" applyAlignment="1">
      <alignment horizontal="center"/>
    </xf>
    <xf numFmtId="166" fontId="0" fillId="4" borderId="18" xfId="0" applyNumberFormat="1" applyFill="1" applyBorder="1" applyAlignment="1">
      <alignment horizontal="center"/>
    </xf>
    <xf numFmtId="0" fontId="0" fillId="9" borderId="19" xfId="0" applyFill="1" applyBorder="1"/>
    <xf numFmtId="0" fontId="0" fillId="9" borderId="20" xfId="0" applyFill="1" applyBorder="1"/>
    <xf numFmtId="166" fontId="3" fillId="9" borderId="21" xfId="0" applyNumberFormat="1" applyFont="1" applyFill="1" applyBorder="1"/>
    <xf numFmtId="0" fontId="0" fillId="0" borderId="11" xfId="0" applyBorder="1"/>
    <xf numFmtId="0" fontId="0" fillId="0" borderId="26" xfId="0" applyBorder="1"/>
  </cellXfs>
  <cellStyles count="5">
    <cellStyle name="Moeda" xfId="1" builtinId="4"/>
    <cellStyle name="Neutro" xfId="3" builtinId="28"/>
    <cellStyle name="Normal" xfId="0" builtinId="0"/>
    <cellStyle name="Nota" xfId="4" builtinId="1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214045</xdr:colOff>
      <xdr:row>0</xdr:row>
      <xdr:rowOff>0</xdr:rowOff>
    </xdr:from>
    <xdr:to>
      <xdr:col>5</xdr:col>
      <xdr:colOff>107022</xdr:colOff>
      <xdr:row>11</xdr:row>
      <xdr:rowOff>42809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8B0B9F3-6242-F079-D5F2-C49BE84A9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045" y="0"/>
          <a:ext cx="6196601" cy="21725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7C9CA-DFE6-4583-AFD9-BB3D440627A8}">
  <dimension ref="A2:G44"/>
  <sheetViews>
    <sheetView showGridLines="0" showRowColHeaders="0" tabSelected="1" zoomScale="89" zoomScaleNormal="89" workbookViewId="0">
      <selection activeCell="J6" sqref="J6"/>
    </sheetView>
  </sheetViews>
  <sheetFormatPr defaultColWidth="0" defaultRowHeight="15" x14ac:dyDescent="0.25"/>
  <cols>
    <col min="1" max="1" width="9.140625" customWidth="1"/>
    <col min="2" max="2" width="33.85546875" customWidth="1"/>
    <col min="3" max="3" width="29.5703125" customWidth="1"/>
    <col min="4" max="4" width="14.7109375" bestFit="1" customWidth="1"/>
    <col min="5" max="6" width="7.140625" customWidth="1"/>
    <col min="7" max="7" width="1.5703125" customWidth="1"/>
    <col min="8" max="9" width="7.140625" style="6" customWidth="1"/>
    <col min="10" max="10" width="7.28515625" style="6" customWidth="1"/>
    <col min="11" max="11" width="7.140625" style="6" customWidth="1"/>
    <col min="12" max="16384" width="9.140625" style="6" hidden="1"/>
  </cols>
  <sheetData>
    <row r="2" spans="2:7" x14ac:dyDescent="0.25">
      <c r="F2" s="1"/>
    </row>
    <row r="5" spans="2:7" x14ac:dyDescent="0.25">
      <c r="E5" s="14"/>
    </row>
    <row r="6" spans="2:7" x14ac:dyDescent="0.25">
      <c r="C6" s="20"/>
    </row>
    <row r="8" spans="2:7" x14ac:dyDescent="0.25">
      <c r="E8" s="4"/>
      <c r="G8" s="18"/>
    </row>
    <row r="10" spans="2:7" ht="15.75" x14ac:dyDescent="0.25">
      <c r="G10" s="11"/>
    </row>
    <row r="12" spans="2:7" ht="15.75" thickBot="1" x14ac:dyDescent="0.3"/>
    <row r="13" spans="2:7" ht="24" customHeight="1" x14ac:dyDescent="0.25">
      <c r="B13" s="33" t="s">
        <v>14</v>
      </c>
      <c r="C13" s="34"/>
      <c r="D13" s="35"/>
    </row>
    <row r="14" spans="2:7" ht="15" customHeight="1" x14ac:dyDescent="0.35">
      <c r="B14" s="39" t="s">
        <v>11</v>
      </c>
      <c r="C14" s="40"/>
      <c r="D14" s="22">
        <v>5000</v>
      </c>
    </row>
    <row r="15" spans="2:7" ht="15" customHeight="1" x14ac:dyDescent="0.25">
      <c r="B15" s="23" t="s">
        <v>12</v>
      </c>
      <c r="C15" s="21"/>
      <c r="D15" s="24">
        <v>0.02</v>
      </c>
    </row>
    <row r="16" spans="2:7" ht="15.75" customHeight="1" thickBot="1" x14ac:dyDescent="0.3">
      <c r="B16" s="25" t="s">
        <v>13</v>
      </c>
      <c r="C16" s="26"/>
      <c r="D16" s="45">
        <f>D14*20%</f>
        <v>1000</v>
      </c>
    </row>
    <row r="17" spans="1:7" x14ac:dyDescent="0.25">
      <c r="B17" s="20"/>
      <c r="C17" s="20"/>
      <c r="D17" s="20"/>
    </row>
    <row r="18" spans="1:7" ht="15.75" thickBot="1" x14ac:dyDescent="0.3">
      <c r="B18" s="20"/>
      <c r="C18" s="20"/>
      <c r="D18" s="20"/>
      <c r="E18" s="2"/>
    </row>
    <row r="19" spans="1:7" ht="42" customHeight="1" x14ac:dyDescent="0.25">
      <c r="B19" s="36" t="s">
        <v>0</v>
      </c>
      <c r="C19" s="37"/>
      <c r="D19" s="38"/>
      <c r="E19" s="6"/>
      <c r="F19" s="19"/>
    </row>
    <row r="20" spans="1:7" ht="20.25" x14ac:dyDescent="0.35">
      <c r="B20" s="41" t="s">
        <v>1</v>
      </c>
      <c r="C20" s="42"/>
      <c r="D20" s="29">
        <f>sug_invest</f>
        <v>1000</v>
      </c>
      <c r="E20" s="6"/>
      <c r="F20" s="6"/>
    </row>
    <row r="21" spans="1:7" ht="20.25" x14ac:dyDescent="0.35">
      <c r="B21" s="41" t="s">
        <v>2</v>
      </c>
      <c r="C21" s="42"/>
      <c r="D21" s="30">
        <v>7</v>
      </c>
      <c r="E21" s="6"/>
      <c r="F21" s="6"/>
    </row>
    <row r="22" spans="1:7" ht="20.25" x14ac:dyDescent="0.35">
      <c r="B22" s="41" t="s">
        <v>3</v>
      </c>
      <c r="C22" s="42"/>
      <c r="D22" s="24">
        <v>1.0500000000000001E-2</v>
      </c>
      <c r="E22" s="6"/>
      <c r="F22" s="6"/>
    </row>
    <row r="23" spans="1:7" ht="20.25" x14ac:dyDescent="0.35">
      <c r="B23" s="46" t="s">
        <v>4</v>
      </c>
      <c r="C23" s="47"/>
      <c r="D23" s="31">
        <f>FV(taxa_mensal,ano*12,aporte*-1)</f>
        <v>133775.57157681888</v>
      </c>
    </row>
    <row r="24" spans="1:7" ht="21" thickBot="1" x14ac:dyDescent="0.4">
      <c r="B24" s="48" t="s">
        <v>5</v>
      </c>
      <c r="C24" s="49"/>
      <c r="D24" s="32">
        <f>patrimonio*rendimento_carteira</f>
        <v>2675.5114315363776</v>
      </c>
    </row>
    <row r="25" spans="1:7" x14ac:dyDescent="0.25">
      <c r="B25" s="13"/>
      <c r="C25" s="12"/>
      <c r="F25" s="15"/>
    </row>
    <row r="26" spans="1:7" ht="15.75" thickBot="1" x14ac:dyDescent="0.3"/>
    <row r="27" spans="1:7" ht="27" x14ac:dyDescent="0.25">
      <c r="B27" s="16" t="s">
        <v>15</v>
      </c>
      <c r="C27" s="17"/>
      <c r="D27" s="50" t="s">
        <v>10</v>
      </c>
      <c r="G27" s="14"/>
    </row>
    <row r="28" spans="1:7" ht="20.25" x14ac:dyDescent="0.35">
      <c r="A28" s="3">
        <v>5</v>
      </c>
      <c r="B28" s="43" t="s">
        <v>6</v>
      </c>
      <c r="C28" s="7">
        <f>FV($D$22,$A28*12,$D$20*-1)</f>
        <v>82995.583908236309</v>
      </c>
      <c r="D28" s="8">
        <f>C28*rendimento_carteira</f>
        <v>1659.9116781647263</v>
      </c>
    </row>
    <row r="29" spans="1:7" ht="20.25" x14ac:dyDescent="0.35">
      <c r="A29" s="3">
        <v>10</v>
      </c>
      <c r="B29" s="43" t="s">
        <v>7</v>
      </c>
      <c r="C29" s="7">
        <f>FV($D$22,$A29*12,$D$20*-1)</f>
        <v>238317.97077329812</v>
      </c>
      <c r="D29" s="8">
        <f>C29*rendimento_carteira</f>
        <v>4766.3594154659622</v>
      </c>
    </row>
    <row r="30" spans="1:7" ht="20.25" x14ac:dyDescent="0.35">
      <c r="A30" s="3">
        <v>15</v>
      </c>
      <c r="B30" s="43" t="s">
        <v>8</v>
      </c>
      <c r="C30" s="7">
        <f>FV($D$22,$A30*12,$D$20*-1)</f>
        <v>528996.61565317109</v>
      </c>
      <c r="D30" s="8">
        <f>C30*rendimento_carteira</f>
        <v>10579.932313063422</v>
      </c>
    </row>
    <row r="31" spans="1:7" ht="21" thickBot="1" x14ac:dyDescent="0.4">
      <c r="A31" s="3">
        <v>20</v>
      </c>
      <c r="B31" s="44" t="s">
        <v>9</v>
      </c>
      <c r="C31" s="9">
        <f>FV($D$22,$A31*12,$D$20*-1)</f>
        <v>1072988.2210783733</v>
      </c>
      <c r="D31" s="10">
        <f>C31*rendimento_carteira</f>
        <v>21459.764421567466</v>
      </c>
    </row>
    <row r="33" spans="2:6" ht="15.75" thickBot="1" x14ac:dyDescent="0.3"/>
    <row r="34" spans="2:6" ht="18.75" x14ac:dyDescent="0.3">
      <c r="B34" s="59" t="s">
        <v>16</v>
      </c>
      <c r="C34" s="60" t="s">
        <v>17</v>
      </c>
      <c r="D34" s="61"/>
    </row>
    <row r="35" spans="2:6" x14ac:dyDescent="0.25">
      <c r="B35" s="62" t="s">
        <v>20</v>
      </c>
      <c r="C35" s="63">
        <f>aporte</f>
        <v>1000</v>
      </c>
      <c r="D35" s="64"/>
    </row>
    <row r="36" spans="2:6" x14ac:dyDescent="0.25">
      <c r="B36" s="74"/>
      <c r="C36" s="27"/>
      <c r="D36" s="75"/>
    </row>
    <row r="37" spans="2:6" ht="15.75" x14ac:dyDescent="0.25">
      <c r="B37" s="65" t="s">
        <v>21</v>
      </c>
      <c r="C37" s="66" t="s">
        <v>22</v>
      </c>
      <c r="D37" s="67" t="s">
        <v>23</v>
      </c>
    </row>
    <row r="38" spans="2:6" x14ac:dyDescent="0.25">
      <c r="B38" s="68" t="s">
        <v>24</v>
      </c>
      <c r="C38" s="69">
        <f>VLOOKUP($C$34&amp;"-"&amp;B38,Planilha2!$A:$D,4,FALSE)</f>
        <v>0.5</v>
      </c>
      <c r="D38" s="70">
        <f>C38*$C$35</f>
        <v>500</v>
      </c>
    </row>
    <row r="39" spans="2:6" x14ac:dyDescent="0.25">
      <c r="B39" s="68" t="s">
        <v>25</v>
      </c>
      <c r="C39" s="69">
        <f>VLOOKUP($C$34&amp;"-"&amp;B39,Planilha2!$A:$D,4,FALSE)</f>
        <v>0.1</v>
      </c>
      <c r="D39" s="70">
        <f>C39*$C$35</f>
        <v>100</v>
      </c>
    </row>
    <row r="40" spans="2:6" x14ac:dyDescent="0.25">
      <c r="B40" s="68" t="s">
        <v>26</v>
      </c>
      <c r="C40" s="69">
        <f>VLOOKUP($C$34&amp;"-"&amp;B40,Planilha2!$A:$D,4,FALSE)</f>
        <v>0.05</v>
      </c>
      <c r="D40" s="70">
        <f>C40*$C$35</f>
        <v>50</v>
      </c>
    </row>
    <row r="41" spans="2:6" x14ac:dyDescent="0.25">
      <c r="B41" s="68" t="s">
        <v>27</v>
      </c>
      <c r="C41" s="69">
        <f>VLOOKUP($C$34&amp;"-"&amp;B41,Planilha2!$A:$D,4,FALSE)</f>
        <v>0.05</v>
      </c>
      <c r="D41" s="70">
        <f>C41*$C$35</f>
        <v>50</v>
      </c>
    </row>
    <row r="42" spans="2:6" x14ac:dyDescent="0.25">
      <c r="B42" s="68" t="s">
        <v>28</v>
      </c>
      <c r="C42" s="69">
        <f>VLOOKUP($C$34&amp;"-"&amp;B42,Planilha2!$A:$D,4,FALSE)</f>
        <v>0.25</v>
      </c>
      <c r="D42" s="70">
        <f t="shared" ref="D39:D43" si="0">C42*$C$35</f>
        <v>250</v>
      </c>
    </row>
    <row r="43" spans="2:6" x14ac:dyDescent="0.25">
      <c r="B43" s="68" t="s">
        <v>29</v>
      </c>
      <c r="C43" s="69">
        <f>VLOOKUP($C$34&amp;"-"&amp;B43,Planilha2!$A:$D,4,FALSE)</f>
        <v>0.05</v>
      </c>
      <c r="D43" s="70">
        <f t="shared" si="0"/>
        <v>50</v>
      </c>
    </row>
    <row r="44" spans="2:6" ht="15.75" thickBot="1" x14ac:dyDescent="0.3">
      <c r="B44" s="71"/>
      <c r="C44" s="72"/>
      <c r="D44" s="73">
        <f>SUM(D38,D39,D40,D41,D42,D43)</f>
        <v>1000</v>
      </c>
      <c r="F44" s="6"/>
    </row>
  </sheetData>
  <mergeCells count="11">
    <mergeCell ref="B23:C23"/>
    <mergeCell ref="B24:C24"/>
    <mergeCell ref="B13:D13"/>
    <mergeCell ref="B19:D19"/>
    <mergeCell ref="B27:C27"/>
    <mergeCell ref="B14:C14"/>
    <mergeCell ref="B15:C15"/>
    <mergeCell ref="B16:C16"/>
    <mergeCell ref="B20:C20"/>
    <mergeCell ref="B21:C21"/>
    <mergeCell ref="B22:C22"/>
  </mergeCells>
  <dataValidations count="1">
    <dataValidation type="list" allowBlank="1" showInputMessage="1" showErrorMessage="1" sqref="C34" xr:uid="{BEF6BF13-7201-4B0B-A355-2FF2F9BE1C0B}">
      <formula1>"AGRESSIVO,CONSERVADOR,MODERADO"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5C7F1-99C3-46C4-B256-AB48A2FF723A}">
  <dimension ref="A4:G23"/>
  <sheetViews>
    <sheetView workbookViewId="0">
      <selection activeCell="G5" sqref="G5"/>
    </sheetView>
  </sheetViews>
  <sheetFormatPr defaultRowHeight="15" x14ac:dyDescent="0.25"/>
  <cols>
    <col min="1" max="1" width="33" bestFit="1" customWidth="1"/>
    <col min="2" max="2" width="14.42578125" bestFit="1" customWidth="1"/>
    <col min="3" max="3" width="18.5703125" bestFit="1" customWidth="1"/>
    <col min="6" max="6" width="20.5703125" bestFit="1" customWidth="1"/>
  </cols>
  <sheetData>
    <row r="4" spans="1:7" x14ac:dyDescent="0.25">
      <c r="G4" t="s">
        <v>30</v>
      </c>
    </row>
    <row r="5" spans="1:7" ht="15.75" x14ac:dyDescent="0.25">
      <c r="A5" t="s">
        <v>31</v>
      </c>
      <c r="B5" t="s">
        <v>16</v>
      </c>
      <c r="C5" s="52" t="s">
        <v>21</v>
      </c>
      <c r="D5" s="53" t="s">
        <v>30</v>
      </c>
      <c r="F5" s="57" t="s">
        <v>32</v>
      </c>
      <c r="G5" s="58">
        <f>VLOOKUP(F5,$A:$D,4,FALSE)</f>
        <v>0.3</v>
      </c>
    </row>
    <row r="6" spans="1:7" x14ac:dyDescent="0.25">
      <c r="A6" t="str">
        <f>B6&amp;"-"&amp;C6</f>
        <v>CONSERVADOR-PAPEL</v>
      </c>
      <c r="B6" t="s">
        <v>18</v>
      </c>
      <c r="C6" s="2" t="s">
        <v>24</v>
      </c>
      <c r="D6" s="51">
        <v>0.3</v>
      </c>
    </row>
    <row r="7" spans="1:7" x14ac:dyDescent="0.25">
      <c r="A7" t="str">
        <f>B7&amp;"-"&amp;C7</f>
        <v>CONSERVADOR-TIJOLO</v>
      </c>
      <c r="B7" t="s">
        <v>18</v>
      </c>
      <c r="C7" s="2" t="s">
        <v>25</v>
      </c>
      <c r="D7" s="51">
        <v>0.5</v>
      </c>
    </row>
    <row r="8" spans="1:7" x14ac:dyDescent="0.25">
      <c r="A8" t="str">
        <f t="shared" ref="A7:A23" si="0">B8&amp;"-"&amp;C8</f>
        <v>CONSERVADOR-HIBRIDOS</v>
      </c>
      <c r="B8" t="s">
        <v>18</v>
      </c>
      <c r="C8" s="2" t="s">
        <v>26</v>
      </c>
      <c r="D8" s="51">
        <v>0.1</v>
      </c>
    </row>
    <row r="9" spans="1:7" x14ac:dyDescent="0.25">
      <c r="A9" t="str">
        <f t="shared" si="0"/>
        <v>CONSERVADOR-FOFs</v>
      </c>
      <c r="B9" t="s">
        <v>18</v>
      </c>
      <c r="C9" s="2" t="s">
        <v>27</v>
      </c>
      <c r="D9" s="51">
        <v>0.1</v>
      </c>
    </row>
    <row r="10" spans="1:7" x14ac:dyDescent="0.25">
      <c r="A10" t="str">
        <f t="shared" si="0"/>
        <v>CONSERVADOR-DESENVOLVIMENTO</v>
      </c>
      <c r="B10" t="s">
        <v>18</v>
      </c>
      <c r="C10" s="2" t="s">
        <v>28</v>
      </c>
      <c r="D10" s="51">
        <v>0</v>
      </c>
    </row>
    <row r="11" spans="1:7" ht="15.75" thickBot="1" x14ac:dyDescent="0.3">
      <c r="A11" s="28" t="str">
        <f t="shared" si="0"/>
        <v>CONSERVADOR-HOTELARIAS</v>
      </c>
      <c r="B11" s="28" t="s">
        <v>18</v>
      </c>
      <c r="C11" s="54" t="s">
        <v>29</v>
      </c>
      <c r="D11" s="55">
        <v>0</v>
      </c>
    </row>
    <row r="12" spans="1:7" x14ac:dyDescent="0.25">
      <c r="A12" t="str">
        <f t="shared" si="0"/>
        <v>MODERADO-PAPEL</v>
      </c>
      <c r="B12" t="s">
        <v>19</v>
      </c>
      <c r="C12" s="2" t="s">
        <v>24</v>
      </c>
      <c r="D12" s="5">
        <v>0.3</v>
      </c>
    </row>
    <row r="13" spans="1:7" x14ac:dyDescent="0.25">
      <c r="A13" t="str">
        <f t="shared" si="0"/>
        <v>MODERADO-TIJOLO</v>
      </c>
      <c r="B13" t="s">
        <v>19</v>
      </c>
      <c r="C13" s="2" t="s">
        <v>25</v>
      </c>
      <c r="D13" s="5">
        <v>0.3</v>
      </c>
    </row>
    <row r="14" spans="1:7" x14ac:dyDescent="0.25">
      <c r="A14" t="str">
        <f t="shared" si="0"/>
        <v>MODERADO-HIBRIDOS</v>
      </c>
      <c r="B14" t="s">
        <v>19</v>
      </c>
      <c r="C14" s="2" t="s">
        <v>26</v>
      </c>
      <c r="D14" s="5">
        <v>0.1</v>
      </c>
    </row>
    <row r="15" spans="1:7" x14ac:dyDescent="0.25">
      <c r="A15" t="str">
        <f t="shared" si="0"/>
        <v>MODERADO-FOFs</v>
      </c>
      <c r="B15" t="s">
        <v>19</v>
      </c>
      <c r="C15" s="2" t="s">
        <v>27</v>
      </c>
      <c r="D15" s="5">
        <v>0.1</v>
      </c>
    </row>
    <row r="16" spans="1:7" x14ac:dyDescent="0.25">
      <c r="A16" t="str">
        <f t="shared" si="0"/>
        <v>MODERADO-DESENVOLVIMENTO</v>
      </c>
      <c r="B16" t="s">
        <v>19</v>
      </c>
      <c r="C16" s="2" t="s">
        <v>28</v>
      </c>
      <c r="D16" s="5">
        <v>0.1</v>
      </c>
    </row>
    <row r="17" spans="1:4" ht="15.75" thickBot="1" x14ac:dyDescent="0.3">
      <c r="A17" s="28" t="str">
        <f t="shared" si="0"/>
        <v>MODERADO-HOTELARIAS</v>
      </c>
      <c r="B17" s="28" t="s">
        <v>19</v>
      </c>
      <c r="C17" s="54" t="s">
        <v>29</v>
      </c>
      <c r="D17" s="56">
        <v>0.1</v>
      </c>
    </row>
    <row r="18" spans="1:4" x14ac:dyDescent="0.25">
      <c r="A18" t="str">
        <f t="shared" si="0"/>
        <v>AGRESSIVO-PAPEL</v>
      </c>
      <c r="B18" t="s">
        <v>17</v>
      </c>
      <c r="C18" s="2" t="s">
        <v>24</v>
      </c>
      <c r="D18" s="5">
        <v>0.5</v>
      </c>
    </row>
    <row r="19" spans="1:4" x14ac:dyDescent="0.25">
      <c r="A19" t="str">
        <f t="shared" si="0"/>
        <v>AGRESSIVO-TIJOLO</v>
      </c>
      <c r="B19" t="s">
        <v>17</v>
      </c>
      <c r="C19" s="2" t="s">
        <v>25</v>
      </c>
      <c r="D19" s="5">
        <v>0.1</v>
      </c>
    </row>
    <row r="20" spans="1:4" x14ac:dyDescent="0.25">
      <c r="A20" t="str">
        <f t="shared" si="0"/>
        <v>AGRESSIVO-HIBRIDOS</v>
      </c>
      <c r="B20" t="s">
        <v>17</v>
      </c>
      <c r="C20" s="2" t="s">
        <v>26</v>
      </c>
      <c r="D20" s="5">
        <v>0.05</v>
      </c>
    </row>
    <row r="21" spans="1:4" x14ac:dyDescent="0.25">
      <c r="A21" t="str">
        <f t="shared" si="0"/>
        <v>AGRESSIVO-FOFs</v>
      </c>
      <c r="B21" t="s">
        <v>17</v>
      </c>
      <c r="C21" s="2" t="s">
        <v>27</v>
      </c>
      <c r="D21" s="5">
        <v>0.05</v>
      </c>
    </row>
    <row r="22" spans="1:4" x14ac:dyDescent="0.25">
      <c r="A22" t="str">
        <f t="shared" si="0"/>
        <v>AGRESSIVO-DESENVOLVIMENTO</v>
      </c>
      <c r="B22" t="s">
        <v>17</v>
      </c>
      <c r="C22" s="2" t="s">
        <v>28</v>
      </c>
      <c r="D22" s="5">
        <v>0.25</v>
      </c>
    </row>
    <row r="23" spans="1:4" x14ac:dyDescent="0.25">
      <c r="A23" t="str">
        <f t="shared" si="0"/>
        <v>AGRESSIVO-HOTELARIAS</v>
      </c>
      <c r="B23" t="s">
        <v>17</v>
      </c>
      <c r="C23" s="2" t="s">
        <v>29</v>
      </c>
      <c r="D23" s="5">
        <v>0.05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6</vt:i4>
      </vt:variant>
    </vt:vector>
  </HeadingPairs>
  <TitlesOfParts>
    <vt:vector size="8" baseType="lpstr">
      <vt:lpstr>Planilha1</vt:lpstr>
      <vt:lpstr>Planilha2</vt:lpstr>
      <vt:lpstr>ano</vt:lpstr>
      <vt:lpstr>aporte</vt:lpstr>
      <vt:lpstr>patrimonio</vt:lpstr>
      <vt:lpstr>rendimento_carteira</vt:lpstr>
      <vt:lpstr>sug_invest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 Queiroz</dc:creator>
  <cp:lastModifiedBy>Mateus Queiroz</cp:lastModifiedBy>
  <dcterms:created xsi:type="dcterms:W3CDTF">2026-09-29T23:16:46Z</dcterms:created>
  <dcterms:modified xsi:type="dcterms:W3CDTF">2026-09-30T02:30:36Z</dcterms:modified>
</cp:coreProperties>
</file>